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  <sheet name="Sheet3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<sst xmlns="http://schemas.openxmlformats.org/spreadsheetml/2006/main" count="29" uniqueCount="29">
  <si>
    <t xml:space="preserve">Level</t>
  </si>
  <si>
    <t xml:space="preserve">Small Blind</t>
  </si>
  <si>
    <t xml:space="preserve">Big Blind</t>
  </si>
  <si>
    <t xml:space="preserve">Level Start Time</t>
  </si>
  <si>
    <t xml:space="preserve">Increase</t>
  </si>
  <si>
    <t xml:space="preserve">Calculated</t>
  </si>
  <si>
    <t xml:space="preserve">+0:00</t>
  </si>
  <si>
    <t xml:space="preserve">+0:20</t>
  </si>
  <si>
    <t xml:space="preserve">+0:40</t>
  </si>
  <si>
    <t xml:space="preserve">+1:00</t>
  </si>
  <si>
    <t xml:space="preserve">+1:20</t>
  </si>
  <si>
    <t xml:space="preserve">+1:40</t>
  </si>
  <si>
    <t xml:space="preserve">+2:00</t>
  </si>
  <si>
    <t xml:space="preserve">+2:20</t>
  </si>
  <si>
    <t xml:space="preserve">+2:40</t>
  </si>
  <si>
    <t xml:space="preserve">+3:00</t>
  </si>
  <si>
    <t xml:space="preserve">+3:20</t>
  </si>
  <si>
    <t xml:space="preserve">+3:40</t>
  </si>
  <si>
    <t xml:space="preserve">+4:00</t>
  </si>
  <si>
    <t xml:space="preserve">+4:20</t>
  </si>
  <si>
    <t xml:space="preserve">+4:40</t>
  </si>
  <si>
    <t xml:space="preserve">+5:00</t>
  </si>
  <si>
    <t xml:space="preserve">1,5,10,20,50,100,200,500,1000,2000,5000,10000</t>
  </si>
  <si>
    <t xml:space="preserve">ln</t>
  </si>
  <si>
    <r>
      <rPr>
        <sz val="11"/>
        <color rgb="FF000000"/>
        <rFont val="Calibri"/>
        <family val="2"/>
        <charset val="1"/>
      </rPr>
      <t xml:space="preserve">x=0 so 40 = ab</t>
    </r>
    <r>
      <rPr>
        <vertAlign val="superscript"/>
        <sz val="11"/>
        <color rgb="FF000000"/>
        <rFont val="Calibri"/>
        <family val="2"/>
        <charset val="1"/>
      </rPr>
      <t xml:space="preserve">0</t>
    </r>
  </si>
  <si>
    <t xml:space="preserve">a=40</t>
  </si>
  <si>
    <r>
      <rPr>
        <sz val="11"/>
        <color rgb="FF000000"/>
        <rFont val="Calibri"/>
        <family val="2"/>
        <charset val="1"/>
      </rPr>
      <t xml:space="preserve">8000=40b</t>
    </r>
    <r>
      <rPr>
        <vertAlign val="superscript"/>
        <sz val="11"/>
        <color rgb="FF000000"/>
        <rFont val="Calibri"/>
        <family val="2"/>
        <charset val="1"/>
      </rPr>
      <t xml:space="preserve">15</t>
    </r>
  </si>
  <si>
    <r>
      <rPr>
        <sz val="11"/>
        <color rgb="FF000000"/>
        <rFont val="Calibri"/>
        <family val="2"/>
        <charset val="1"/>
      </rPr>
      <t xml:space="preserve">200=b</t>
    </r>
    <r>
      <rPr>
        <vertAlign val="superscript"/>
        <sz val="11"/>
        <color rgb="FF000000"/>
        <rFont val="Calibri"/>
        <family val="2"/>
        <charset val="1"/>
      </rPr>
      <t xml:space="preserve">15</t>
    </r>
  </si>
  <si>
    <t xml:space="preserve">y=25 * (1,531825)^0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</si>
</sst>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%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3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8B855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Sheet1!$C$30:$C$49</c:f>
              <c:numCache>
                <c:formatCode>General</c:formatCode>
                <c:ptCount val="20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solidFill>
              <a:srgbClr val="98b855"/>
            </a:solidFill>
            <a:ln w="28440">
              <a:solidFill>
                <a:srgbClr val="98b855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Sheet1!$B$30:$B$49</c:f>
              <c:numCache>
                <c:formatCode>General</c:formatCode>
                <c:ptCount val="20"/>
                <c:pt idx="0">
                  <c:v>10</c:v>
                </c:pt>
                <c:pt idx="1">
                  <c:v>15.6149045005687</c:v>
                </c:pt>
                <c:pt idx="2">
                  <c:v>24.382524256188</c:v>
                </c:pt>
                <c:pt idx="3">
                  <c:v>38.0730787743176</c:v>
                </c:pt>
                <c:pt idx="4">
                  <c:v>59.4507489103598</c:v>
                </c:pt>
                <c:pt idx="5">
                  <c:v>92.8317766722556</c:v>
                </c:pt>
                <c:pt idx="6">
                  <c:v>144.955932735539</c:v>
                </c:pt>
                <c:pt idx="7">
                  <c:v>226.34730464563</c:v>
                </c:pt>
                <c:pt idx="8">
                  <c:v>353.439154600264</c:v>
                </c:pt>
                <c:pt idx="9">
                  <c:v>551.891864584486</c:v>
                </c:pt>
                <c:pt idx="10">
                  <c:v>861.773876012754</c:v>
                </c:pt>
                <c:pt idx="11">
                  <c:v>1345.65167750241</c:v>
                </c:pt>
                <c:pt idx="12">
                  <c:v>2101.22224352301</c:v>
                </c:pt>
                <c:pt idx="13">
                  <c:v>3281.03846670826</c:v>
                </c:pt>
                <c:pt idx="14">
                  <c:v>5123.31023203417</c:v>
                </c:pt>
                <c:pt idx="15">
                  <c:v>8000</c:v>
                </c:pt>
                <c:pt idx="16">
                  <c:v>12491.923600455</c:v>
                </c:pt>
                <c:pt idx="17">
                  <c:v>19506.0194049504</c:v>
                </c:pt>
                <c:pt idx="18">
                  <c:v>30458.4630194541</c:v>
                </c:pt>
                <c:pt idx="19">
                  <c:v>47560.5991282878</c:v>
                </c:pt>
              </c:numCache>
            </c:numRef>
          </c:yVal>
          <c:smooth val="1"/>
        </c:ser>
        <c:axId val="15135458"/>
        <c:axId val="34192982"/>
      </c:scatterChart>
      <c:valAx>
        <c:axId val="1513545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4192982"/>
        <c:crosses val="autoZero"/>
        <c:crossBetween val="midCat"/>
      </c:valAx>
      <c:valAx>
        <c:axId val="34192982"/>
        <c:scaling>
          <c:logBase val="10"/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5135458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209520</xdr:colOff>
      <xdr:row>2</xdr:row>
      <xdr:rowOff>125640</xdr:rowOff>
    </xdr:from>
    <xdr:to>
      <xdr:col>19</xdr:col>
      <xdr:colOff>106200</xdr:colOff>
      <xdr:row>27</xdr:row>
      <xdr:rowOff>174960</xdr:rowOff>
    </xdr:to>
    <xdr:graphicFrame>
      <xdr:nvGraphicFramePr>
        <xdr:cNvPr id="0" name="Chart 1"/>
        <xdr:cNvGraphicFramePr/>
      </xdr:nvGraphicFramePr>
      <xdr:xfrm>
        <a:off x="6276960" y="476280"/>
        <a:ext cx="6623280" cy="4430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8.6796875" defaultRowHeight="13.8" zeroHeight="false" outlineLevelRow="0" outlineLevelCol="0"/>
  <cols>
    <col collapsed="false" customWidth="true" hidden="false" outlineLevel="0" max="2" min="2" style="0" width="11"/>
    <col collapsed="false" customWidth="true" hidden="false" outlineLevel="0" max="3" min="3" style="0" width="15.43"/>
    <col collapsed="false" customWidth="true" hidden="false" outlineLevel="0" max="4" min="4" style="0" width="16.27"/>
    <col collapsed="false" customWidth="true" hidden="false" outlineLevel="0" max="16384" min="16383" style="0" width="11.53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customFormat="false" ht="13.8" hidden="false" customHeight="false" outlineLevel="0" collapsed="false">
      <c r="A2" s="1" t="n">
        <v>0</v>
      </c>
      <c r="B2" s="1" t="n">
        <v>20</v>
      </c>
      <c r="C2" s="1" t="n">
        <v>40</v>
      </c>
      <c r="D2" s="2" t="s">
        <v>6</v>
      </c>
      <c r="E2" s="1"/>
      <c r="F2" s="3" t="n">
        <v>26.0378080788235</v>
      </c>
    </row>
    <row r="3" customFormat="false" ht="13.8" hidden="false" customHeight="false" outlineLevel="0" collapsed="false">
      <c r="A3" s="1" t="n">
        <v>1</v>
      </c>
      <c r="B3" s="1" t="n">
        <v>40</v>
      </c>
      <c r="C3" s="1" t="n">
        <v>80</v>
      </c>
      <c r="D3" s="2" t="s">
        <v>7</v>
      </c>
      <c r="E3" s="4" t="n">
        <v>2</v>
      </c>
      <c r="F3" s="3" t="n">
        <v>39.6959687071637</v>
      </c>
    </row>
    <row r="4" customFormat="false" ht="13.8" hidden="false" customHeight="false" outlineLevel="0" collapsed="false">
      <c r="A4" s="1" t="n">
        <v>2</v>
      </c>
      <c r="B4" s="1" t="n">
        <v>80</v>
      </c>
      <c r="C4" s="1" t="n">
        <v>160</v>
      </c>
      <c r="D4" s="2" t="s">
        <v>8</v>
      </c>
      <c r="E4" s="4" t="n">
        <v>2</v>
      </c>
      <c r="F4" s="3" t="n">
        <v>60.5185323906618</v>
      </c>
    </row>
    <row r="5" customFormat="false" ht="13.8" hidden="false" customHeight="false" outlineLevel="0" collapsed="false">
      <c r="A5" s="1" t="n">
        <v>3</v>
      </c>
      <c r="B5" s="1" t="n">
        <v>100</v>
      </c>
      <c r="C5" s="1" t="n">
        <v>200</v>
      </c>
      <c r="D5" s="2" t="s">
        <v>9</v>
      </c>
      <c r="E5" s="4" t="n">
        <v>1.25</v>
      </c>
      <c r="F5" s="3" t="n">
        <v>92.2635945664335</v>
      </c>
    </row>
    <row r="6" customFormat="false" ht="13.8" hidden="false" customHeight="false" outlineLevel="0" collapsed="false">
      <c r="A6" s="1" t="n">
        <v>4</v>
      </c>
      <c r="B6" s="1" t="n">
        <v>160</v>
      </c>
      <c r="C6" s="1" t="n">
        <v>320</v>
      </c>
      <c r="D6" s="2" t="s">
        <v>10</v>
      </c>
      <c r="E6" s="4" t="n">
        <v>1.6</v>
      </c>
      <c r="F6" s="3" t="n">
        <v>140.660563732255</v>
      </c>
    </row>
    <row r="7" customFormat="false" ht="13.8" hidden="false" customHeight="false" outlineLevel="0" collapsed="false">
      <c r="A7" s="1" t="n">
        <v>5</v>
      </c>
      <c r="B7" s="1" t="n">
        <v>200</v>
      </c>
      <c r="C7" s="1" t="n">
        <v>400</v>
      </c>
      <c r="D7" s="2" t="s">
        <v>11</v>
      </c>
      <c r="E7" s="4" t="n">
        <v>1.25</v>
      </c>
      <c r="F7" s="3" t="n">
        <v>214.444215862731</v>
      </c>
    </row>
    <row r="8" customFormat="false" ht="13.8" hidden="false" customHeight="false" outlineLevel="0" collapsed="false">
      <c r="A8" s="1" t="n">
        <v>6</v>
      </c>
      <c r="B8" s="1" t="n">
        <v>300</v>
      </c>
      <c r="C8" s="1" t="n">
        <v>600</v>
      </c>
      <c r="D8" s="2" t="s">
        <v>12</v>
      </c>
      <c r="E8" s="4" t="n">
        <v>1.5</v>
      </c>
      <c r="F8" s="3" t="n">
        <v>326.931163197353</v>
      </c>
    </row>
    <row r="9" customFormat="false" ht="13.8" hidden="false" customHeight="false" outlineLevel="0" collapsed="false">
      <c r="A9" s="1" t="n">
        <v>7</v>
      </c>
      <c r="B9" s="1" t="n">
        <v>500</v>
      </c>
      <c r="C9" s="1" t="n">
        <v>1000</v>
      </c>
      <c r="D9" s="2" t="s">
        <v>13</v>
      </c>
      <c r="E9" s="4" t="n">
        <v>1.66666666666667</v>
      </c>
      <c r="F9" s="3" t="n">
        <v>498.423261450859</v>
      </c>
    </row>
    <row r="10" customFormat="false" ht="13.8" hidden="false" customHeight="false" outlineLevel="0" collapsed="false">
      <c r="A10" s="1" t="n">
        <v>8</v>
      </c>
      <c r="B10" s="1" t="n">
        <v>800</v>
      </c>
      <c r="C10" s="1" t="n">
        <v>1600</v>
      </c>
      <c r="D10" s="2" t="s">
        <v>14</v>
      </c>
      <c r="E10" s="4" t="n">
        <v>1.6</v>
      </c>
      <c r="F10" s="3" t="n">
        <v>759.871726897286</v>
      </c>
    </row>
    <row r="11" customFormat="false" ht="13.8" hidden="false" customHeight="false" outlineLevel="0" collapsed="false">
      <c r="A11" s="1" t="n">
        <v>9</v>
      </c>
      <c r="B11" s="1" t="n">
        <v>1000</v>
      </c>
      <c r="C11" s="1" t="n">
        <v>2000</v>
      </c>
      <c r="D11" s="2" t="s">
        <v>15</v>
      </c>
      <c r="E11" s="4" t="n">
        <v>1.25</v>
      </c>
      <c r="F11" s="3" t="n">
        <v>1158.46327006709</v>
      </c>
    </row>
    <row r="12" customFormat="false" ht="13.8" hidden="false" customHeight="false" outlineLevel="0" collapsed="false">
      <c r="A12" s="1" t="n">
        <v>10</v>
      </c>
      <c r="B12" s="1" t="n">
        <v>1600</v>
      </c>
      <c r="C12" s="1" t="n">
        <v>3200</v>
      </c>
      <c r="D12" s="2" t="s">
        <v>16</v>
      </c>
      <c r="E12" s="4" t="n">
        <v>1.6</v>
      </c>
      <c r="F12" s="3" t="n">
        <v>1766.13644196809</v>
      </c>
    </row>
    <row r="13" customFormat="false" ht="13.8" hidden="false" customHeight="false" outlineLevel="0" collapsed="false">
      <c r="A13" s="1" t="n">
        <v>11</v>
      </c>
      <c r="B13" s="1" t="n">
        <v>3000</v>
      </c>
      <c r="C13" s="1" t="n">
        <v>6000</v>
      </c>
      <c r="D13" s="2" t="s">
        <v>17</v>
      </c>
      <c r="E13" s="4" t="n">
        <v>1.875</v>
      </c>
      <c r="F13" s="3" t="n">
        <v>2692.56523900589</v>
      </c>
    </row>
    <row r="14" customFormat="false" ht="13.8" hidden="false" customHeight="false" outlineLevel="0" collapsed="false">
      <c r="A14" s="1" t="n">
        <v>12</v>
      </c>
      <c r="B14" s="1" t="n">
        <v>4000</v>
      </c>
      <c r="C14" s="1" t="n">
        <v>8000</v>
      </c>
      <c r="D14" s="2" t="s">
        <v>18</v>
      </c>
      <c r="E14" s="4" t="n">
        <v>1.33333333333333</v>
      </c>
      <c r="F14" s="3" t="n">
        <v>4104.95327202687</v>
      </c>
    </row>
    <row r="15" customFormat="false" ht="13.8" hidden="false" customHeight="false" outlineLevel="0" collapsed="false">
      <c r="A15" s="1" t="n">
        <v>13</v>
      </c>
      <c r="B15" s="1" t="n">
        <v>6000</v>
      </c>
      <c r="C15" s="1" t="n">
        <v>12000</v>
      </c>
      <c r="D15" s="2" t="s">
        <v>19</v>
      </c>
      <c r="E15" s="4" t="n">
        <v>1.5</v>
      </c>
      <c r="F15" s="3" t="n">
        <v>6258.21098832334</v>
      </c>
    </row>
    <row r="16" customFormat="false" ht="13.8" hidden="false" customHeight="false" outlineLevel="0" collapsed="false">
      <c r="A16" s="1" t="n">
        <v>14</v>
      </c>
      <c r="B16" s="1" t="n">
        <v>10000</v>
      </c>
      <c r="C16" s="1" t="n">
        <v>20000</v>
      </c>
      <c r="D16" s="2" t="s">
        <v>20</v>
      </c>
      <c r="E16" s="4" t="n">
        <v>1.66666666666667</v>
      </c>
      <c r="F16" s="3" t="n">
        <v>9540.96238835691</v>
      </c>
    </row>
    <row r="17" customFormat="false" ht="13.8" hidden="false" customHeight="false" outlineLevel="0" collapsed="false">
      <c r="A17" s="1" t="n">
        <v>15</v>
      </c>
      <c r="B17" s="1" t="n">
        <v>15000</v>
      </c>
      <c r="C17" s="1" t="n">
        <v>30000</v>
      </c>
      <c r="D17" s="2" t="s">
        <v>21</v>
      </c>
      <c r="E17" s="4" t="n">
        <v>1.5</v>
      </c>
      <c r="F17" s="3" t="n">
        <v>14545.6846159208</v>
      </c>
    </row>
    <row r="20" customFormat="false" ht="13.8" hidden="false" customHeight="false" outlineLevel="0" collapsed="false">
      <c r="D20" s="0" t="s">
        <v>22</v>
      </c>
    </row>
    <row r="21" customFormat="false" ht="13.8" hidden="false" customHeight="false" outlineLevel="0" collapsed="false">
      <c r="B21" s="1" t="s">
        <v>23</v>
      </c>
      <c r="C21" s="1" t="s">
        <v>24</v>
      </c>
      <c r="E21" s="0" t="n">
        <v>10</v>
      </c>
    </row>
    <row r="22" customFormat="false" ht="13.8" hidden="false" customHeight="false" outlineLevel="0" collapsed="false">
      <c r="B22" s="0" t="n">
        <f aca="false">LOG(25)</f>
        <v>1.39794000867204</v>
      </c>
      <c r="C22" s="1" t="s">
        <v>25</v>
      </c>
      <c r="E22" s="0" t="n">
        <v>8000</v>
      </c>
    </row>
    <row r="23" customFormat="false" ht="13.8" hidden="false" customHeight="false" outlineLevel="0" collapsed="false">
      <c r="B23" s="0" t="n">
        <f aca="false">LOG(8000)</f>
        <v>3.90308998699194</v>
      </c>
      <c r="C23" s="0" t="s">
        <v>26</v>
      </c>
      <c r="D23" s="0" t="n">
        <f aca="false">8000/40</f>
        <v>200</v>
      </c>
      <c r="E23" s="0" t="n">
        <f aca="false">E22/E21</f>
        <v>800</v>
      </c>
    </row>
    <row r="24" customFormat="false" ht="13.8" hidden="false" customHeight="false" outlineLevel="0" collapsed="false">
      <c r="C24" s="0" t="s">
        <v>27</v>
      </c>
    </row>
    <row r="25" customFormat="false" ht="13.8" hidden="false" customHeight="false" outlineLevel="0" collapsed="false">
      <c r="C25" s="0" t="n">
        <f aca="false">POWER(E23, 1/15)</f>
        <v>1.56149045005687</v>
      </c>
    </row>
    <row r="27" customFormat="false" ht="13.8" hidden="false" customHeight="false" outlineLevel="0" collapsed="false">
      <c r="C27" s="1" t="s">
        <v>28</v>
      </c>
    </row>
    <row r="28" customFormat="false" ht="13.8" hidden="false" customHeight="false" outlineLevel="0" collapsed="false">
      <c r="C28" s="0" t="n">
        <f aca="false">25*C25^0</f>
        <v>25</v>
      </c>
    </row>
    <row r="29" customFormat="false" ht="13.8" hidden="false" customHeight="false" outlineLevel="0" collapsed="false">
      <c r="C29" s="0" t="n">
        <f aca="false">25*C25^15</f>
        <v>20000</v>
      </c>
    </row>
    <row r="30" customFormat="false" ht="13.8" hidden="false" customHeight="false" outlineLevel="0" collapsed="false">
      <c r="A30" s="0" t="n">
        <v>0</v>
      </c>
      <c r="B30" s="0" t="n">
        <f aca="false">$E$21*$C$25^A30</f>
        <v>10</v>
      </c>
      <c r="C30" s="0" t="n">
        <f aca="false">BESTFIT(B30/2)*2</f>
        <v>0</v>
      </c>
    </row>
    <row r="31" customFormat="false" ht="13.8" hidden="false" customHeight="false" outlineLevel="0" collapsed="false">
      <c r="A31" s="0" t="n">
        <v>1</v>
      </c>
      <c r="B31" s="1" t="n">
        <f aca="false">$E$21*$C$25^A31</f>
        <v>15.6149045005687</v>
      </c>
      <c r="C31" s="1" t="e">
        <f aca="false">BESTFIT(B31/2)*2</f>
        <v>#VALUE!</v>
      </c>
    </row>
    <row r="32" customFormat="false" ht="13.8" hidden="false" customHeight="false" outlineLevel="0" collapsed="false">
      <c r="A32" s="1" t="n">
        <v>2</v>
      </c>
      <c r="B32" s="1" t="n">
        <f aca="false">$E$21*$C$25^A32</f>
        <v>24.382524256188</v>
      </c>
      <c r="C32" s="1" t="e">
        <f aca="false">BESTFIT(B32/2)*2</f>
        <v>#VALUE!</v>
      </c>
    </row>
    <row r="33" customFormat="false" ht="13.8" hidden="false" customHeight="false" outlineLevel="0" collapsed="false">
      <c r="A33" s="1" t="n">
        <v>3</v>
      </c>
      <c r="B33" s="1" t="n">
        <f aca="false">$E$21*$C$25^A33</f>
        <v>38.0730787743176</v>
      </c>
      <c r="C33" s="1" t="e">
        <f aca="false">BESTFIT(B33/2)*2</f>
        <v>#VALUE!</v>
      </c>
    </row>
    <row r="34" customFormat="false" ht="13.8" hidden="false" customHeight="false" outlineLevel="0" collapsed="false">
      <c r="A34" s="1" t="n">
        <v>4</v>
      </c>
      <c r="B34" s="1" t="n">
        <f aca="false">$E$21*$C$25^A34</f>
        <v>59.4507489103598</v>
      </c>
      <c r="C34" s="1" t="e">
        <f aca="false">BESTFIT(B34/2)*2</f>
        <v>#VALUE!</v>
      </c>
    </row>
    <row r="35" customFormat="false" ht="13.8" hidden="false" customHeight="false" outlineLevel="0" collapsed="false">
      <c r="A35" s="1" t="n">
        <v>5</v>
      </c>
      <c r="B35" s="1" t="n">
        <f aca="false">$E$21*$C$25^A35</f>
        <v>92.8317766722556</v>
      </c>
      <c r="C35" s="1" t="e">
        <f aca="false">BESTFIT(B35/2)*2</f>
        <v>#VALUE!</v>
      </c>
    </row>
    <row r="36" customFormat="false" ht="13.8" hidden="false" customHeight="false" outlineLevel="0" collapsed="false">
      <c r="A36" s="1" t="n">
        <v>6</v>
      </c>
      <c r="B36" s="1" t="n">
        <f aca="false">$E$21*$C$25^A36</f>
        <v>144.955932735539</v>
      </c>
      <c r="C36" s="1" t="e">
        <f aca="false">BESTFIT(B36/2)*2</f>
        <v>#VALUE!</v>
      </c>
    </row>
    <row r="37" customFormat="false" ht="13.8" hidden="false" customHeight="false" outlineLevel="0" collapsed="false">
      <c r="A37" s="1" t="n">
        <v>7</v>
      </c>
      <c r="B37" s="1" t="n">
        <f aca="false">$E$21*$C$25^A37</f>
        <v>226.34730464563</v>
      </c>
      <c r="C37" s="1" t="e">
        <f aca="false">BESTFIT(B37/2)*2</f>
        <v>#VALUE!</v>
      </c>
    </row>
    <row r="38" customFormat="false" ht="13.8" hidden="false" customHeight="false" outlineLevel="0" collapsed="false">
      <c r="A38" s="1" t="n">
        <v>8</v>
      </c>
      <c r="B38" s="1" t="n">
        <f aca="false">$E$21*$C$25^A38</f>
        <v>353.439154600264</v>
      </c>
      <c r="C38" s="1" t="e">
        <f aca="false">BESTFIT(B38/2)*2</f>
        <v>#VALUE!</v>
      </c>
    </row>
    <row r="39" customFormat="false" ht="13.8" hidden="false" customHeight="false" outlineLevel="0" collapsed="false">
      <c r="A39" s="1" t="n">
        <v>9</v>
      </c>
      <c r="B39" s="1" t="n">
        <f aca="false">$E$21*$C$25^A39</f>
        <v>551.891864584486</v>
      </c>
      <c r="C39" s="1" t="e">
        <f aca="false">BESTFIT(B39/2)*2</f>
        <v>#VALUE!</v>
      </c>
    </row>
    <row r="40" customFormat="false" ht="13.8" hidden="false" customHeight="false" outlineLevel="0" collapsed="false">
      <c r="A40" s="1" t="n">
        <v>10</v>
      </c>
      <c r="B40" s="1" t="n">
        <f aca="false">$E$21*$C$25^A40</f>
        <v>861.773876012754</v>
      </c>
      <c r="C40" s="1" t="e">
        <f aca="false">BESTFIT(B40/2)*2</f>
        <v>#VALUE!</v>
      </c>
    </row>
    <row r="41" customFormat="false" ht="13.8" hidden="false" customHeight="false" outlineLevel="0" collapsed="false">
      <c r="A41" s="1" t="n">
        <v>11</v>
      </c>
      <c r="B41" s="1" t="n">
        <f aca="false">$E$21*$C$25^A41</f>
        <v>1345.65167750241</v>
      </c>
      <c r="C41" s="1" t="e">
        <f aca="false">BESTFIT(B41/2)*2</f>
        <v>#VALUE!</v>
      </c>
    </row>
    <row r="42" customFormat="false" ht="13.8" hidden="false" customHeight="false" outlineLevel="0" collapsed="false">
      <c r="A42" s="1" t="n">
        <v>12</v>
      </c>
      <c r="B42" s="1" t="n">
        <f aca="false">$E$21*$C$25^A42</f>
        <v>2101.22224352301</v>
      </c>
      <c r="C42" s="1" t="e">
        <f aca="false">BESTFIT(B42/2)*2</f>
        <v>#VALUE!</v>
      </c>
    </row>
    <row r="43" customFormat="false" ht="13.8" hidden="false" customHeight="false" outlineLevel="0" collapsed="false">
      <c r="A43" s="1" t="n">
        <v>13</v>
      </c>
      <c r="B43" s="1" t="n">
        <f aca="false">$E$21*$C$25^A43</f>
        <v>3281.03846670826</v>
      </c>
      <c r="C43" s="1" t="e">
        <f aca="false">BESTFIT(B43/2)*2</f>
        <v>#VALUE!</v>
      </c>
    </row>
    <row r="44" customFormat="false" ht="13.8" hidden="false" customHeight="false" outlineLevel="0" collapsed="false">
      <c r="A44" s="1" t="n">
        <v>14</v>
      </c>
      <c r="B44" s="1" t="n">
        <f aca="false">$E$21*$C$25^A44</f>
        <v>5123.31023203417</v>
      </c>
      <c r="C44" s="1" t="e">
        <f aca="false">BESTFIT(B44/2)*2</f>
        <v>#VALUE!</v>
      </c>
    </row>
    <row r="45" customFormat="false" ht="13.8" hidden="false" customHeight="false" outlineLevel="0" collapsed="false">
      <c r="A45" s="1" t="n">
        <v>15</v>
      </c>
      <c r="B45" s="1" t="n">
        <f aca="false">$E$21*$C$25^A45</f>
        <v>8000</v>
      </c>
      <c r="C45" s="1" t="e">
        <f aca="false">BESTFIT(B45/2)*2</f>
        <v>#VALUE!</v>
      </c>
    </row>
    <row r="46" customFormat="false" ht="13.8" hidden="false" customHeight="false" outlineLevel="0" collapsed="false">
      <c r="A46" s="1" t="n">
        <v>16</v>
      </c>
      <c r="B46" s="1" t="n">
        <f aca="false">$E$21*$C$25^A46</f>
        <v>12491.923600455</v>
      </c>
      <c r="C46" s="1" t="e">
        <f aca="false">BESTFIT(B46/2)*2</f>
        <v>#VALUE!</v>
      </c>
    </row>
    <row r="47" customFormat="false" ht="13.8" hidden="false" customHeight="false" outlineLevel="0" collapsed="false">
      <c r="A47" s="1" t="n">
        <v>17</v>
      </c>
      <c r="B47" s="1" t="n">
        <f aca="false">$E$21*$C$25^A47</f>
        <v>19506.0194049504</v>
      </c>
      <c r="C47" s="1" t="e">
        <f aca="false">BESTFIT(B47/2)*2</f>
        <v>#VALUE!</v>
      </c>
    </row>
    <row r="48" customFormat="false" ht="13.8" hidden="false" customHeight="false" outlineLevel="0" collapsed="false">
      <c r="A48" s="1" t="n">
        <v>18</v>
      </c>
      <c r="B48" s="1" t="n">
        <f aca="false">$E$21*$C$25^A48</f>
        <v>30458.4630194541</v>
      </c>
      <c r="C48" s="1" t="e">
        <f aca="false">BESTFIT(B48/2)*2</f>
        <v>#VALUE!</v>
      </c>
    </row>
    <row r="49" customFormat="false" ht="13.8" hidden="false" customHeight="false" outlineLevel="0" collapsed="false">
      <c r="A49" s="1" t="n">
        <v>19</v>
      </c>
      <c r="B49" s="1" t="n">
        <f aca="false">$E$21*$C$25^A49</f>
        <v>47560.5991282878</v>
      </c>
      <c r="C49" s="1" t="e">
        <f aca="false">BESTFIT(B49/2)*2</f>
        <v>#VALUE!</v>
      </c>
    </row>
    <row r="50" customFormat="false" ht="13.8" hidden="false" customHeight="false" outlineLevel="0" collapsed="false">
      <c r="C50" s="1" t="e">
        <f aca="false">BESTFIT(B50/2)*2</f>
        <v>#VALUE!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LibreOffice/7.4.6.2$Windows_X86_64 LibreOffice_project/5b1f5509c2decdade7fda905e3e1429a67acd63d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2023-08-07T16:10:22Z</dcterms:created>
  <dc:creator>Calvin Day</dc:creator>
  <dc:description/>
  <dc:language>en-US</dc:language>
  <cp:lastModifiedBy/>
  <dcterms:modified xsi:type="dcterms:W3CDTF">2023-12-16T15:26:17Z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